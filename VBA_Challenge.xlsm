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cheet\OneDrive - SESI, LLC\Documents\GitHub\Module_2\Module2_VBA_Challege\"/>
    </mc:Choice>
  </mc:AlternateContent>
  <xr:revisionPtr revIDLastSave="0" documentId="13_ncr:1_{7DFB20BF-D83E-433B-B3C6-C2D267A07171}" xr6:coauthVersionLast="45" xr6:coauthVersionMax="45" xr10:uidLastSave="{00000000-0000-0000-0000-000000000000}"/>
  <bookViews>
    <workbookView xWindow="-28920" yWindow="-120" windowWidth="29040" windowHeight="15840" activeTab="2" xr2:uid="{00000000-000D-0000-FFFF-FFFF00000000}"/>
  </bookViews>
  <sheets>
    <sheet name="2017" sheetId="1" r:id="rId1"/>
    <sheet name="2018" sheetId="2" r:id="rId2"/>
    <sheet name="All Stocks Analysis" sheetId="4" r:id="rId3"/>
    <sheet name="Original Script" sheetId="11" r:id="rId4"/>
    <sheet name="Sheet2" sheetId="7" r:id="rId5"/>
    <sheet name="2 year analysis" sheetId="10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10" l="1"/>
  <c r="F13" i="10"/>
  <c r="G13" i="10" s="1"/>
  <c r="D13" i="10"/>
  <c r="D12" i="10"/>
  <c r="F12" i="10" s="1"/>
  <c r="G12" i="10" s="1"/>
  <c r="D11" i="10"/>
  <c r="F11" i="10" s="1"/>
  <c r="G11" i="10" s="1"/>
  <c r="D10" i="10"/>
  <c r="F10" i="10" s="1"/>
  <c r="G10" i="10" s="1"/>
  <c r="D9" i="10"/>
  <c r="F9" i="10" s="1"/>
  <c r="G9" i="10" s="1"/>
  <c r="D8" i="10"/>
  <c r="F8" i="10" s="1"/>
  <c r="G8" i="10" s="1"/>
  <c r="F7" i="10"/>
  <c r="G7" i="10" s="1"/>
  <c r="D7" i="10"/>
  <c r="D6" i="10"/>
  <c r="F6" i="10" s="1"/>
  <c r="G6" i="10" s="1"/>
  <c r="F5" i="10"/>
  <c r="G5" i="10" s="1"/>
  <c r="D5" i="10"/>
  <c r="D4" i="10"/>
  <c r="F4" i="10" s="1"/>
  <c r="G4" i="10" s="1"/>
  <c r="D3" i="10"/>
  <c r="F3" i="10" s="1"/>
  <c r="G3" i="10" s="1"/>
  <c r="G2" i="10"/>
  <c r="F2" i="10"/>
  <c r="D2" i="10"/>
  <c r="D14" i="10" s="1"/>
  <c r="C14" i="10" s="1"/>
  <c r="F14" i="10" l="1"/>
  <c r="G14" i="10" l="1"/>
  <c r="E14" i="10"/>
</calcChain>
</file>

<file path=xl/sharedStrings.xml><?xml version="1.0" encoding="utf-8"?>
<sst xmlns="http://schemas.openxmlformats.org/spreadsheetml/2006/main" count="12113" uniqueCount="530">
  <si>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</si>
  <si>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</si>
  <si>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</si>
  <si>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</si>
  <si>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</si>
  <si>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</si>
  <si>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</si>
  <si>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</si>
  <si>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</si>
  <si>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</si>
  <si>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</si>
  <si>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</si>
  <si>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</si>
  <si>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</si>
  <si>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</si>
  <si>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</si>
  <si>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</si>
  <si>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</si>
  <si>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</si>
  <si>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</si>
  <si>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</si>
  <si>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</si>
  <si>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</si>
  <si>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</si>
  <si>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</si>
  <si>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</si>
  <si>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</si>
  <si>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</si>
  <si>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</si>
  <si>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</si>
  <si>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</si>
  <si>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</si>
  <si>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</si>
  <si>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</si>
  <si>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</si>
  <si>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</si>
  <si>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</si>
  <si>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</si>
  <si>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</si>
  <si>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</si>
  <si>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</si>
  <si>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</si>
  <si>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</si>
  <si>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</si>
  <si>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</si>
  <si>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</si>
  <si>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</si>
  <si>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</si>
  <si>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</si>
  <si>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</si>
  <si>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</si>
  <si>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</si>
  <si>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</si>
  <si>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</si>
  <si>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</si>
  <si>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</si>
  <si>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</si>
  <si>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</si>
  <si>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</si>
  <si>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</si>
  <si>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</si>
  <si>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</si>
  <si>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</si>
  <si>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</si>
  <si>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</si>
  <si>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</si>
  <si>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</si>
  <si>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</si>
  <si>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</si>
  <si>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</si>
  <si>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</si>
  <si>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</si>
  <si>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</si>
  <si>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</si>
  <si>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</si>
  <si>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</si>
  <si>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</si>
  <si>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</si>
  <si>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</si>
  <si>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</si>
  <si>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</si>
  <si>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</si>
  <si>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</si>
  <si>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</si>
  <si>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</si>
  <si>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</si>
  <si>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</si>
  <si>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</si>
  <si>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</si>
  <si>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</si>
  <si>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</si>
  <si>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</si>
  <si>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</si>
  <si>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</si>
  <si>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</si>
  <si>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</si>
  <si>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</si>
  <si>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</si>
  <si>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</si>
  <si>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</si>
  <si>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</si>
  <si>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</si>
  <si>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</si>
  <si>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</si>
  <si>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</si>
  <si>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</si>
  <si>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</si>
  <si>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</si>
  <si>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</si>
  <si>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</si>
  <si>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</si>
  <si>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</si>
  <si>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</si>
  <si>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</si>
  <si>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</si>
  <si>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</si>
  <si>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</si>
  <si>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</si>
  <si>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</si>
  <si>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</si>
  <si>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</si>
  <si>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</si>
  <si>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</si>
  <si>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</si>
  <si>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</si>
  <si>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</si>
  <si>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</si>
  <si>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</si>
  <si>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</si>
  <si>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</si>
  <si>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</si>
  <si>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</si>
  <si>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</si>
  <si>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</si>
  <si>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</si>
  <si>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</si>
  <si>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</si>
  <si>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</si>
  <si>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</si>
  <si>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</si>
  <si>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</si>
  <si>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</si>
  <si>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</si>
  <si>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</si>
  <si>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</si>
  <si>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</si>
  <si>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</si>
  <si>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</si>
  <si>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</si>
  <si>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</si>
  <si>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</si>
  <si>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</si>
  <si>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</si>
  <si>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</si>
  <si>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</si>
  <si>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</si>
  <si>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</si>
  <si>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</si>
  <si>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</si>
  <si>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</si>
  <si>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</si>
  <si>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</si>
  <si>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</si>
  <si>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</si>
  <si>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</si>
  <si>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</si>
  <si>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</si>
  <si>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</si>
  <si>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</si>
  <si>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</si>
  <si>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</si>
  <si>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</si>
  <si>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</si>
  <si>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</si>
  <si>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</si>
  <si>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</si>
  <si>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</si>
  <si>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</si>
  <si>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</si>
  <si>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</si>
  <si>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</si>
  <si>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</si>
  <si>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</si>
  <si>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</si>
  <si>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</si>
  <si>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</si>
  <si>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</si>
  <si>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</si>
  <si>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</si>
  <si>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</si>
  <si>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</si>
  <si>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</si>
  <si>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</si>
  <si>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</si>
  <si>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</si>
  <si>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</si>
  <si>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</si>
  <si>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</si>
  <si>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</si>
  <si>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</si>
  <si>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</si>
  <si>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</si>
  <si>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</si>
  <si>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</si>
  <si>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</si>
  <si>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</si>
  <si>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</si>
  <si>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</si>
  <si>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</si>
  <si>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</si>
  <si>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</si>
  <si>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</si>
  <si>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</si>
  <si>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</si>
  <si>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</si>
  <si>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</si>
  <si>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</si>
  <si>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</si>
  <si>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</si>
  <si>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</si>
  <si>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</si>
  <si>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</si>
  <si>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</si>
  <si>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</si>
  <si>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</si>
  <si>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</si>
  <si>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</si>
  <si>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</si>
  <si>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</si>
  <si>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</si>
  <si>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</si>
  <si>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</si>
  <si>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</si>
  <si>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</si>
  <si>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</si>
  <si>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</si>
  <si>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</si>
  <si>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</si>
  <si>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</si>
  <si>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</si>
  <si>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</si>
  <si>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</si>
  <si>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</si>
  <si>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</si>
  <si>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</si>
  <si>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</si>
  <si>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</si>
  <si>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</si>
  <si>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</si>
  <si>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</si>
  <si>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</si>
  <si>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</si>
  <si>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</si>
  <si>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</si>
  <si>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</si>
  <si>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</si>
  <si>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</si>
  <si>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</si>
  <si>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</si>
  <si>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</si>
  <si>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</si>
  <si>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</si>
  <si>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</si>
  <si>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</si>
  <si>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</si>
  <si>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</si>
  <si>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</si>
  <si>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</si>
  <si>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</si>
  <si>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</si>
  <si>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</si>
  <si>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</si>
  <si>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</si>
  <si>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</si>
  <si>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</si>
  <si>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</si>
  <si>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</si>
  <si>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</si>
  <si>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</si>
  <si>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</si>
  <si>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</si>
  <si>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</si>
  <si>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</si>
  <si>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</si>
  <si>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</si>
  <si>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</si>
  <si>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</si>
  <si>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</si>
  <si>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</si>
  <si>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</si>
  <si>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</si>
  <si>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</si>
  <si>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</si>
  <si>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</si>
  <si>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</si>
  <si>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</si>
  <si>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</si>
  <si>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</si>
  <si>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</si>
  <si>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</si>
  <si>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</si>
  <si>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</si>
  <si>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</si>
  <si>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</si>
  <si>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</si>
  <si>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</si>
  <si>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</si>
  <si>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</si>
  <si>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</si>
  <si>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</si>
  <si>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</si>
  <si>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</si>
  <si>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</si>
  <si>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</si>
  <si>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</si>
  <si>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</si>
  <si>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</si>
  <si>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</si>
  <si>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</si>
  <si>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</si>
  <si>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</si>
  <si>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</si>
  <si>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</si>
  <si>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</si>
  <si>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</si>
  <si>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</si>
  <si>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</si>
  <si>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</si>
  <si>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</si>
  <si>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</si>
  <si>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</si>
  <si>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</si>
  <si>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</si>
  <si>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</si>
  <si>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</si>
  <si>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</si>
  <si>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</si>
  <si>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</si>
  <si>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</si>
  <si>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</si>
  <si>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</si>
  <si>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</si>
  <si>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</si>
  <si>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</si>
  <si>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</si>
  <si>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</si>
  <si>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</si>
  <si>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</si>
  <si>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</si>
  <si>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</si>
  <si>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</si>
  <si>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</si>
  <si>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</si>
  <si>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</si>
  <si>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</si>
  <si>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</si>
  <si>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</si>
  <si>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</si>
  <si>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</si>
  <si>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</si>
  <si>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</si>
  <si>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</si>
  <si>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</si>
  <si>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</si>
  <si>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</si>
  <si>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</si>
  <si>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</si>
  <si>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</si>
  <si>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</si>
  <si>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</si>
  <si>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</si>
  <si>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</si>
  <si>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</si>
  <si>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</si>
  <si>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</si>
  <si>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</si>
  <si>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</si>
  <si>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</si>
  <si>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</si>
  <si>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</si>
  <si>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</si>
  <si>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</si>
  <si>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</si>
  <si>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</si>
  <si>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</si>
  <si>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</si>
  <si>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</si>
  <si>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</si>
  <si>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</si>
  <si>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</si>
  <si>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</si>
  <si>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</si>
  <si>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</si>
  <si>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</si>
  <si>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</si>
  <si>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</si>
  <si>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</si>
  <si>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</si>
  <si>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</si>
  <si>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</si>
  <si>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</si>
  <si>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</si>
  <si>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</si>
  <si>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</si>
  <si>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</si>
  <si>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</si>
  <si>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</si>
  <si>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</si>
  <si>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</si>
  <si>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</si>
  <si>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</si>
  <si>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</si>
  <si>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</si>
  <si>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</si>
  <si>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</si>
  <si>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</si>
  <si>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</si>
  <si>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</si>
  <si>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</si>
  <si>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</si>
  <si>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</si>
  <si>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</si>
  <si>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</si>
  <si>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</si>
  <si>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</si>
  <si>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</si>
  <si>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</si>
  <si>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</si>
  <si>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</si>
  <si>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</si>
  <si>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</si>
  <si>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</si>
  <si>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</si>
  <si>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</si>
  <si>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</si>
  <si>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</si>
  <si>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</si>
  <si>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</si>
  <si>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</si>
  <si>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</si>
  <si>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</si>
  <si>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</si>
  <si>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</si>
  <si>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</si>
  <si>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</si>
  <si>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</si>
  <si>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</si>
  <si>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</si>
  <si>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</si>
  <si>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</si>
  <si>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</si>
  <si>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</si>
  <si>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</si>
  <si>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</si>
  <si>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</si>
  <si>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</si>
  <si>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</si>
  <si>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</si>
  <si>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</si>
  <si>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</si>
  <si>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</si>
  <si>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</si>
  <si>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</si>
  <si>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</si>
  <si>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</si>
  <si>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</si>
  <si>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</si>
  <si>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</si>
  <si>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</si>
  <si>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</si>
  <si>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</si>
  <si>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</si>
  <si>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</si>
  <si>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</si>
  <si>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</si>
  <si>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</si>
  <si>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</si>
  <si>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</si>
  <si>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</si>
  <si>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</si>
  <si>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</si>
  <si>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</si>
  <si>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</si>
  <si>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</si>
  <si>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</si>
  <si>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</si>
  <si>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</si>
  <si>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</si>
  <si>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</si>
  <si>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</si>
  <si>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</si>
  <si>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</si>
  <si>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</si>
  <si>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</si>
  <si>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</si>
  <si>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</si>
  <si>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</si>
  <si>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</si>
  <si>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</si>
  <si>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</si>
  <si>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</si>
  <si>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</si>
  <si>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</si>
  <si>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</si>
  <si>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</si>
  <si>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</si>
  <si>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</si>
  <si>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</si>
  <si>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</si>
  <si>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</si>
  <si>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</si>
  <si>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</si>
  <si>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</si>
  <si>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</si>
  <si>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</si>
  <si>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</si>
  <si>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</si>
  <si>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</si>
  <si>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</si>
  <si>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</si>
  <si>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</si>
  <si>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</si>
  <si>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</si>
  <si>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</si>
  <si>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Initial Investment</t>
  </si>
  <si>
    <t>2017 ROR</t>
  </si>
  <si>
    <t>2018 ROR</t>
  </si>
  <si>
    <t>End of 2018 Investment</t>
  </si>
  <si>
    <t>2year ROR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</si>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</sst>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3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5" fontId="0" fillId="0" borderId="0" xfId="0" applyNumberFormat="1"/>
    <xf numFmtId="9" fontId="0" fillId="0" borderId="0" xfId="2" applyFont="1"/>
    <xf numFmtId="0" fontId="0" fillId="0" borderId="0" xfId="0" applyAlignment="1">
      <alignment wrapText="1"/>
    </xf>
    <xf numFmtId="0" fontId="4" fillId="4" borderId="2" xfId="0" applyFont="1" applyFill="1" applyBorder="1"/>
    <xf numFmtId="10" fontId="0" fillId="4" borderId="0" xfId="0" applyNumberFormat="1" applyFill="1"/>
    <xf numFmtId="10" fontId="0" fillId="3" borderId="0" xfId="0" applyNumberFormat="1" applyFill="1"/>
    <xf numFmtId="0" fontId="1" fillId="0" borderId="3" xfId="0" applyFont="1" applyBorder="1"/>
    <xf numFmtId="164" fontId="0" fillId="4" borderId="0" xfId="0" applyNumberFormat="1" applyFill="1"/>
    <xf numFmtId="164" fontId="0" fillId="3" borderId="0" xfId="0" applyNumberForma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2</xdr:row>
          <xdr:rowOff>85725</xdr:rowOff>
        </xdr:from>
        <xdr:to>
          <xdr:col>6</xdr:col>
          <xdr:colOff>9525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5</xdr:row>
          <xdr:rowOff>142875</xdr:rowOff>
        </xdr:from>
        <xdr:to>
          <xdr:col>5</xdr:col>
          <xdr:colOff>571500</xdr:colOff>
          <xdr:row>7</xdr:row>
          <xdr:rowOff>123825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1</xdr:row>
          <xdr:rowOff>171450</xdr:rowOff>
        </xdr:from>
        <xdr:to>
          <xdr:col>5</xdr:col>
          <xdr:colOff>561975</xdr:colOff>
          <xdr:row>4</xdr:row>
          <xdr:rowOff>104775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Original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6</xdr:row>
          <xdr:rowOff>76200</xdr:rowOff>
        </xdr:from>
        <xdr:to>
          <xdr:col>5</xdr:col>
          <xdr:colOff>600075</xdr:colOff>
          <xdr:row>8</xdr:row>
          <xdr:rowOff>114300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D252" sqref="D252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FA288-3AA9-42EA-B2FD-3B9DAEE1EF5A}">
  <sheetPr codeName="Sheet4"/>
  <dimension ref="A1:C15"/>
  <sheetViews>
    <sheetView tabSelected="1" workbookViewId="0">
      <selection activeCell="H15" sqref="H15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1.5703125" bestFit="1" customWidth="1"/>
    <col min="5" max="5" width="11.5703125" bestFit="1" customWidth="1"/>
    <col min="7" max="7" width="11.5703125" bestFit="1" customWidth="1"/>
  </cols>
  <sheetData>
    <row r="1" spans="1:3" x14ac:dyDescent="0.25">
      <c r="A1" t="s">
        <v>529</v>
      </c>
    </row>
    <row r="3" spans="1:3" x14ac:dyDescent="0.25">
      <c r="A3" s="13" t="s">
        <v>0</v>
      </c>
      <c r="B3" s="13" t="s">
        <v>522</v>
      </c>
      <c r="C3" s="13" t="s">
        <v>523</v>
      </c>
    </row>
    <row r="4" spans="1:3" x14ac:dyDescent="0.25">
      <c r="A4" t="s">
        <v>8</v>
      </c>
      <c r="B4" s="4">
        <v>136070900</v>
      </c>
      <c r="C4" s="14">
        <v>8.9368263449833688E-2</v>
      </c>
    </row>
    <row r="5" spans="1:3" x14ac:dyDescent="0.25">
      <c r="A5" t="s">
        <v>9</v>
      </c>
      <c r="B5" s="4">
        <v>310592800</v>
      </c>
      <c r="C5" s="14">
        <v>0.3307025256511445</v>
      </c>
    </row>
    <row r="6" spans="1:3" x14ac:dyDescent="0.25">
      <c r="A6" t="s">
        <v>10</v>
      </c>
      <c r="B6" s="4">
        <v>35796200</v>
      </c>
      <c r="C6" s="14">
        <v>1.9944583879093196</v>
      </c>
    </row>
    <row r="7" spans="1:3" x14ac:dyDescent="0.25">
      <c r="A7" t="s">
        <v>11</v>
      </c>
      <c r="B7" s="4">
        <v>221772100</v>
      </c>
      <c r="C7" s="14">
        <v>1.2952380952380953</v>
      </c>
    </row>
    <row r="8" spans="1:3" x14ac:dyDescent="0.25">
      <c r="A8" t="s">
        <v>12</v>
      </c>
      <c r="B8" s="4">
        <v>684181400</v>
      </c>
      <c r="C8" s="14">
        <v>1.0131185148145945</v>
      </c>
    </row>
    <row r="9" spans="1:3" x14ac:dyDescent="0.25">
      <c r="A9" t="s">
        <v>13</v>
      </c>
      <c r="B9" s="4">
        <v>80949300</v>
      </c>
      <c r="C9" s="14">
        <v>0.25836808272133477</v>
      </c>
    </row>
    <row r="10" spans="1:3" x14ac:dyDescent="0.25">
      <c r="A10" t="s">
        <v>14</v>
      </c>
      <c r="B10" s="4">
        <v>191632200</v>
      </c>
      <c r="C10" s="14">
        <v>0.53870754958413303</v>
      </c>
    </row>
    <row r="11" spans="1:3" x14ac:dyDescent="0.25">
      <c r="A11" t="s">
        <v>15</v>
      </c>
      <c r="B11" s="4">
        <v>267681300</v>
      </c>
      <c r="C11" s="14">
        <v>5.5456171735241595E-2</v>
      </c>
    </row>
    <row r="12" spans="1:3" x14ac:dyDescent="0.25">
      <c r="A12" t="s">
        <v>16</v>
      </c>
      <c r="B12" s="4">
        <v>206885200</v>
      </c>
      <c r="C12" s="14">
        <v>1.8446968939393942</v>
      </c>
    </row>
    <row r="13" spans="1:3" x14ac:dyDescent="0.25">
      <c r="A13" t="s">
        <v>17</v>
      </c>
      <c r="B13" s="4">
        <v>782187000</v>
      </c>
      <c r="C13" s="14">
        <v>0.23065693430656936</v>
      </c>
    </row>
    <row r="14" spans="1:3" x14ac:dyDescent="0.25">
      <c r="A14" t="s">
        <v>18</v>
      </c>
      <c r="B14" s="4">
        <v>139402800</v>
      </c>
      <c r="C14" s="15">
        <v>-7.2148952676493378E-2</v>
      </c>
    </row>
    <row r="15" spans="1:3" x14ac:dyDescent="0.25">
      <c r="A15" t="s">
        <v>19</v>
      </c>
      <c r="B15" s="4">
        <v>109487900</v>
      </c>
      <c r="C15" s="14">
        <v>0.49999999999999983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3</xdr:col>
                    <xdr:colOff>600075</xdr:colOff>
                    <xdr:row>2</xdr:row>
                    <xdr:rowOff>85725</xdr:rowOff>
                  </from>
                  <to>
                    <xdr:col>6</xdr:col>
                    <xdr:colOff>9525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3</xdr:col>
                    <xdr:colOff>581025</xdr:colOff>
                    <xdr:row>5</xdr:row>
                    <xdr:rowOff>142875</xdr:rowOff>
                  </from>
                  <to>
                    <xdr:col>5</xdr:col>
                    <xdr:colOff>571500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7D295-2EE9-41F5-B5D2-F5F8A6446FA4}">
  <sheetPr codeName="Sheet8"/>
  <dimension ref="A1:C15"/>
  <sheetViews>
    <sheetView workbookViewId="0">
      <selection activeCell="I10" sqref="I10"/>
    </sheetView>
  </sheetViews>
  <sheetFormatPr defaultRowHeight="15" x14ac:dyDescent="0.25"/>
  <cols>
    <col min="2" max="2" width="23" bestFit="1" customWidth="1"/>
  </cols>
  <sheetData>
    <row r="1" spans="1:3" x14ac:dyDescent="0.25">
      <c r="A1" t="s">
        <v>529</v>
      </c>
    </row>
    <row r="3" spans="1:3" ht="18.75" x14ac:dyDescent="0.3">
      <c r="A3" s="10" t="s">
        <v>0</v>
      </c>
      <c r="B3" s="10" t="s">
        <v>522</v>
      </c>
      <c r="C3" s="10" t="s">
        <v>523</v>
      </c>
    </row>
    <row r="4" spans="1:3" x14ac:dyDescent="0.25">
      <c r="A4" t="s">
        <v>8</v>
      </c>
      <c r="B4" s="4">
        <v>136070900</v>
      </c>
      <c r="C4" s="11">
        <v>8.9368263449833688E-2</v>
      </c>
    </row>
    <row r="5" spans="1:3" x14ac:dyDescent="0.25">
      <c r="A5" t="s">
        <v>9</v>
      </c>
      <c r="B5" s="4">
        <v>310592800</v>
      </c>
      <c r="C5" s="11">
        <v>0.3307025256511445</v>
      </c>
    </row>
    <row r="6" spans="1:3" x14ac:dyDescent="0.25">
      <c r="A6" t="s">
        <v>10</v>
      </c>
      <c r="B6" s="4">
        <v>35796200</v>
      </c>
      <c r="C6" s="11">
        <v>1.9944583879093196</v>
      </c>
    </row>
    <row r="7" spans="1:3" x14ac:dyDescent="0.25">
      <c r="A7" t="s">
        <v>11</v>
      </c>
      <c r="B7" s="4">
        <v>221772100</v>
      </c>
      <c r="C7" s="11">
        <v>1.2952380952380953</v>
      </c>
    </row>
    <row r="8" spans="1:3" x14ac:dyDescent="0.25">
      <c r="A8" t="s">
        <v>12</v>
      </c>
      <c r="B8" s="4">
        <v>684181400</v>
      </c>
      <c r="C8" s="11">
        <v>1.0131185148145945</v>
      </c>
    </row>
    <row r="9" spans="1:3" x14ac:dyDescent="0.25">
      <c r="A9" t="s">
        <v>13</v>
      </c>
      <c r="B9" s="4">
        <v>80949300</v>
      </c>
      <c r="C9" s="11">
        <v>0.25836808272133477</v>
      </c>
    </row>
    <row r="10" spans="1:3" x14ac:dyDescent="0.25">
      <c r="A10" t="s">
        <v>14</v>
      </c>
      <c r="B10" s="4">
        <v>191632200</v>
      </c>
      <c r="C10" s="11">
        <v>0.53870754958413303</v>
      </c>
    </row>
    <row r="11" spans="1:3" x14ac:dyDescent="0.25">
      <c r="A11" t="s">
        <v>15</v>
      </c>
      <c r="B11" s="4">
        <v>267681300</v>
      </c>
      <c r="C11" s="11">
        <v>5.5456171735241595E-2</v>
      </c>
    </row>
    <row r="12" spans="1:3" x14ac:dyDescent="0.25">
      <c r="A12" t="s">
        <v>16</v>
      </c>
      <c r="B12" s="4">
        <v>206885200</v>
      </c>
      <c r="C12" s="11">
        <v>1.8446968939393942</v>
      </c>
    </row>
    <row r="13" spans="1:3" x14ac:dyDescent="0.25">
      <c r="A13" t="s">
        <v>17</v>
      </c>
      <c r="B13" s="4">
        <v>782187000</v>
      </c>
      <c r="C13" s="11">
        <v>0.23065693430656936</v>
      </c>
    </row>
    <row r="14" spans="1:3" x14ac:dyDescent="0.25">
      <c r="A14" t="s">
        <v>18</v>
      </c>
      <c r="B14" s="4">
        <v>139402800</v>
      </c>
      <c r="C14" s="12">
        <v>-7.2148952676493378E-2</v>
      </c>
    </row>
    <row r="15" spans="1:3" x14ac:dyDescent="0.25">
      <c r="A15" t="s">
        <v>19</v>
      </c>
      <c r="B15" s="4">
        <v>109487900</v>
      </c>
      <c r="C15" s="11">
        <v>0.49999999999999983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AllStocksAnalysis2">
                <anchor moveWithCells="1" sizeWithCells="1">
                  <from>
                    <xdr:col>3</xdr:col>
                    <xdr:colOff>495300</xdr:colOff>
                    <xdr:row>1</xdr:row>
                    <xdr:rowOff>171450</xdr:rowOff>
                  </from>
                  <to>
                    <xdr:col>5</xdr:col>
                    <xdr:colOff>561975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worksheet">
                <anchor moveWithCells="1" sizeWithCells="1">
                  <from>
                    <xdr:col>3</xdr:col>
                    <xdr:colOff>533400</xdr:colOff>
                    <xdr:row>6</xdr:row>
                    <xdr:rowOff>76200</xdr:rowOff>
                  </from>
                  <to>
                    <xdr:col>5</xdr:col>
                    <xdr:colOff>600075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A117-9BCC-42EF-9565-DAF3CC3CAF40}">
  <sheetPr codeName="Sheet5"/>
  <dimension ref="A1:H8"/>
  <sheetViews>
    <sheetView workbookViewId="0">
      <selection activeCell="M22" sqref="M22"/>
    </sheetView>
  </sheetViews>
  <sheetFormatPr defaultRowHeight="15" x14ac:dyDescent="0.25"/>
  <sheetData>
    <row r="1" spans="1:8" x14ac:dyDescent="0.25">
      <c r="A1" s="2"/>
      <c r="B1" s="3"/>
      <c r="C1" s="2"/>
      <c r="D1" s="3"/>
      <c r="E1" s="2"/>
      <c r="F1" s="3"/>
      <c r="G1" s="2"/>
      <c r="H1" s="3"/>
    </row>
    <row r="2" spans="1:8" x14ac:dyDescent="0.25">
      <c r="A2" s="3"/>
      <c r="B2" s="2"/>
      <c r="C2" s="3"/>
      <c r="D2" s="2"/>
      <c r="E2" s="3"/>
      <c r="F2" s="2"/>
      <c r="G2" s="3"/>
      <c r="H2" s="2"/>
    </row>
    <row r="3" spans="1:8" x14ac:dyDescent="0.25">
      <c r="A3" s="2"/>
      <c r="B3" s="3"/>
      <c r="C3" s="2"/>
      <c r="D3" s="3"/>
      <c r="E3" s="2"/>
      <c r="F3" s="3"/>
      <c r="G3" s="2"/>
      <c r="H3" s="3"/>
    </row>
    <row r="4" spans="1:8" x14ac:dyDescent="0.25">
      <c r="A4" s="3"/>
      <c r="B4" s="2"/>
      <c r="C4" s="3"/>
      <c r="D4" s="2"/>
      <c r="E4" s="3"/>
      <c r="F4" s="2"/>
      <c r="G4" s="3"/>
      <c r="H4" s="2"/>
    </row>
    <row r="5" spans="1:8" x14ac:dyDescent="0.25">
      <c r="A5" s="2"/>
      <c r="B5" s="3"/>
      <c r="C5" s="2"/>
      <c r="D5" s="3"/>
      <c r="E5" s="2"/>
      <c r="F5" s="3"/>
      <c r="G5" s="2"/>
      <c r="H5" s="3"/>
    </row>
    <row r="6" spans="1:8" x14ac:dyDescent="0.25">
      <c r="A6" s="3"/>
      <c r="B6" s="2"/>
      <c r="C6" s="3"/>
      <c r="D6" s="2"/>
      <c r="E6" s="3"/>
      <c r="F6" s="2"/>
      <c r="G6" s="3"/>
      <c r="H6" s="2"/>
    </row>
    <row r="7" spans="1:8" x14ac:dyDescent="0.25">
      <c r="A7" s="2"/>
      <c r="B7" s="3"/>
      <c r="C7" s="2"/>
      <c r="D7" s="3"/>
      <c r="E7" s="2"/>
      <c r="F7" s="3"/>
      <c r="G7" s="2"/>
      <c r="H7" s="3"/>
    </row>
    <row r="8" spans="1:8" x14ac:dyDescent="0.25">
      <c r="A8" s="3"/>
      <c r="B8" s="2"/>
      <c r="C8" s="3"/>
      <c r="D8" s="2"/>
      <c r="E8" s="3"/>
      <c r="F8" s="2"/>
      <c r="G8" s="3"/>
      <c r="H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7518-B848-4F9C-B307-DF1D263E530C}">
  <sheetPr codeName="Sheet3"/>
  <dimension ref="A1:G14"/>
  <sheetViews>
    <sheetView workbookViewId="0">
      <selection activeCell="I27" sqref="I27"/>
    </sheetView>
  </sheetViews>
  <sheetFormatPr defaultRowHeight="15" x14ac:dyDescent="0.25"/>
  <cols>
    <col min="2" max="2" width="14.7109375" customWidth="1"/>
    <col min="6" max="6" width="15.28515625" customWidth="1"/>
  </cols>
  <sheetData>
    <row r="1" spans="1:7" s="9" customFormat="1" ht="34.5" customHeight="1" x14ac:dyDescent="0.25">
      <c r="B1" s="9" t="s">
        <v>524</v>
      </c>
      <c r="C1" s="9" t="s">
        <v>525</v>
      </c>
      <c r="E1" s="9" t="s">
        <v>526</v>
      </c>
      <c r="F1" s="9" t="s">
        <v>527</v>
      </c>
      <c r="G1" s="9" t="s">
        <v>528</v>
      </c>
    </row>
    <row r="2" spans="1:7" x14ac:dyDescent="0.25">
      <c r="A2" t="s">
        <v>8</v>
      </c>
      <c r="B2" s="6">
        <v>1000</v>
      </c>
      <c r="C2" s="5">
        <v>8.9368263449833688E-2</v>
      </c>
      <c r="D2" s="6">
        <f t="shared" ref="D2:D13" si="0">B2*(C2+1)</f>
        <v>1089.3682634498336</v>
      </c>
      <c r="E2" s="5">
        <v>-7.2847638261477596E-2</v>
      </c>
      <c r="F2" s="6">
        <f t="shared" ref="F2:F13" si="1">D2*(E2+1)</f>
        <v>1010.0103582605062</v>
      </c>
      <c r="G2" s="8">
        <f t="shared" ref="G2:G14" si="2">F2/B2-1</f>
        <v>1.0010358260506225E-2</v>
      </c>
    </row>
    <row r="3" spans="1:7" x14ac:dyDescent="0.25">
      <c r="A3" t="s">
        <v>9</v>
      </c>
      <c r="B3" s="6">
        <v>1000</v>
      </c>
      <c r="C3" s="5">
        <v>0.3307025256511445</v>
      </c>
      <c r="D3" s="6">
        <f t="shared" si="0"/>
        <v>1330.7025256511445</v>
      </c>
      <c r="E3" s="5">
        <v>-0.16336051128124335</v>
      </c>
      <c r="F3" s="6">
        <f t="shared" si="1"/>
        <v>1113.3182806975317</v>
      </c>
      <c r="G3" s="8">
        <f t="shared" si="2"/>
        <v>0.11331828069753169</v>
      </c>
    </row>
    <row r="4" spans="1:7" x14ac:dyDescent="0.25">
      <c r="A4" t="s">
        <v>10</v>
      </c>
      <c r="B4" s="6">
        <v>1000</v>
      </c>
      <c r="C4" s="5">
        <v>1.9944583879093196</v>
      </c>
      <c r="D4" s="6">
        <f t="shared" si="0"/>
        <v>2994.4583879093198</v>
      </c>
      <c r="E4" s="5">
        <v>-0.62601885887805664</v>
      </c>
      <c r="F4" s="6">
        <f t="shared" si="1"/>
        <v>1119.8709649525024</v>
      </c>
      <c r="G4" s="8">
        <f t="shared" si="2"/>
        <v>0.11987096495250249</v>
      </c>
    </row>
    <row r="5" spans="1:7" x14ac:dyDescent="0.25">
      <c r="A5" t="s">
        <v>11</v>
      </c>
      <c r="B5" s="6">
        <v>1000</v>
      </c>
      <c r="C5" s="5">
        <v>1.2952380952380953</v>
      </c>
      <c r="D5" s="6">
        <f t="shared" si="0"/>
        <v>2295.238095238095</v>
      </c>
      <c r="E5" s="5">
        <v>0.81923076923076932</v>
      </c>
      <c r="F5" s="6">
        <f t="shared" si="1"/>
        <v>4175.5677655677655</v>
      </c>
      <c r="G5" s="8">
        <f t="shared" si="2"/>
        <v>3.1755677655677657</v>
      </c>
    </row>
    <row r="6" spans="1:7" x14ac:dyDescent="0.25">
      <c r="A6" t="s">
        <v>12</v>
      </c>
      <c r="B6" s="6">
        <v>1000</v>
      </c>
      <c r="C6" s="5">
        <v>1.0131185148145945</v>
      </c>
      <c r="D6" s="6">
        <f t="shared" si="0"/>
        <v>2013.1185148145944</v>
      </c>
      <c r="E6" s="5">
        <v>-0.39713191821666904</v>
      </c>
      <c r="F6" s="6">
        <f t="shared" si="1"/>
        <v>1213.6448974287825</v>
      </c>
      <c r="G6" s="8">
        <f t="shared" si="2"/>
        <v>0.21364489742878257</v>
      </c>
    </row>
    <row r="7" spans="1:7" x14ac:dyDescent="0.25">
      <c r="A7" t="s">
        <v>13</v>
      </c>
      <c r="B7" s="6">
        <v>1000</v>
      </c>
      <c r="C7" s="5">
        <v>0.25836808272133477</v>
      </c>
      <c r="D7" s="6">
        <f t="shared" si="0"/>
        <v>1258.3680827213348</v>
      </c>
      <c r="E7" s="5">
        <v>-0.2065806330695544</v>
      </c>
      <c r="F7" s="6">
        <f t="shared" si="1"/>
        <v>998.41360755823996</v>
      </c>
      <c r="G7" s="8">
        <f t="shared" si="2"/>
        <v>-1.586392441760065E-3</v>
      </c>
    </row>
    <row r="8" spans="1:7" x14ac:dyDescent="0.25">
      <c r="A8" t="s">
        <v>14</v>
      </c>
      <c r="B8" s="6">
        <v>1000</v>
      </c>
      <c r="C8" s="5">
        <v>0.53870754958413303</v>
      </c>
      <c r="D8" s="6">
        <f t="shared" si="0"/>
        <v>1538.7075495841329</v>
      </c>
      <c r="E8" s="5">
        <v>-0.60534715105136272</v>
      </c>
      <c r="F8" s="6">
        <f t="shared" si="1"/>
        <v>607.25531814215458</v>
      </c>
      <c r="G8" s="8">
        <f t="shared" si="2"/>
        <v>-0.39274468185784539</v>
      </c>
    </row>
    <row r="9" spans="1:7" x14ac:dyDescent="0.25">
      <c r="A9" t="s">
        <v>15</v>
      </c>
      <c r="B9" s="6">
        <v>1000</v>
      </c>
      <c r="C9" s="5">
        <v>5.5456171735241595E-2</v>
      </c>
      <c r="D9" s="6">
        <f t="shared" si="0"/>
        <v>1055.4561717352415</v>
      </c>
      <c r="E9" s="5">
        <v>0.8395270270270272</v>
      </c>
      <c r="F9" s="6">
        <f t="shared" si="1"/>
        <v>1941.5401537494563</v>
      </c>
      <c r="G9" s="8">
        <f t="shared" si="2"/>
        <v>0.94154015374945632</v>
      </c>
    </row>
    <row r="10" spans="1:7" x14ac:dyDescent="0.25">
      <c r="A10" t="s">
        <v>16</v>
      </c>
      <c r="B10" s="6">
        <v>1000</v>
      </c>
      <c r="C10" s="5">
        <v>1.8446968939393942</v>
      </c>
      <c r="D10" s="6">
        <f t="shared" si="0"/>
        <v>2844.6968939393946</v>
      </c>
      <c r="E10" s="5">
        <v>-7.7529594678832983E-2</v>
      </c>
      <c r="F10" s="6">
        <f t="shared" si="1"/>
        <v>2624.1486967681381</v>
      </c>
      <c r="G10" s="8">
        <f t="shared" si="2"/>
        <v>1.6241486967681382</v>
      </c>
    </row>
    <row r="11" spans="1:7" x14ac:dyDescent="0.25">
      <c r="A11" t="s">
        <v>17</v>
      </c>
      <c r="B11" s="6">
        <v>1000</v>
      </c>
      <c r="C11" s="5">
        <v>0.23065693430656936</v>
      </c>
      <c r="D11" s="6">
        <f t="shared" si="0"/>
        <v>1230.6569343065694</v>
      </c>
      <c r="E11" s="5">
        <v>-0.44593088071348946</v>
      </c>
      <c r="F11" s="6">
        <f t="shared" si="1"/>
        <v>681.86900373507797</v>
      </c>
      <c r="G11" s="8">
        <f t="shared" si="2"/>
        <v>-0.31813099626492203</v>
      </c>
    </row>
    <row r="12" spans="1:7" x14ac:dyDescent="0.25">
      <c r="A12" t="s">
        <v>18</v>
      </c>
      <c r="B12" s="6">
        <v>1000</v>
      </c>
      <c r="C12" s="5">
        <v>-7.2148952676493378E-2</v>
      </c>
      <c r="D12" s="6">
        <f t="shared" si="0"/>
        <v>927.85104732350669</v>
      </c>
      <c r="E12" s="5">
        <v>-4.9957662997459767E-2</v>
      </c>
      <c r="F12" s="6">
        <f t="shared" si="1"/>
        <v>881.49777738947887</v>
      </c>
      <c r="G12" s="8">
        <f t="shared" si="2"/>
        <v>-0.11850222261052112</v>
      </c>
    </row>
    <row r="13" spans="1:7" x14ac:dyDescent="0.25">
      <c r="A13" t="s">
        <v>19</v>
      </c>
      <c r="B13" s="6">
        <v>1000</v>
      </c>
      <c r="C13" s="5">
        <v>0.49999999999999983</v>
      </c>
      <c r="D13" s="6">
        <f t="shared" si="0"/>
        <v>1499.9999999999998</v>
      </c>
      <c r="E13" s="5">
        <v>-3.5443037974683574E-2</v>
      </c>
      <c r="F13" s="6">
        <f t="shared" si="1"/>
        <v>1446.8354430379743</v>
      </c>
      <c r="G13" s="8">
        <f t="shared" si="2"/>
        <v>0.4468354430379744</v>
      </c>
    </row>
    <row r="14" spans="1:7" x14ac:dyDescent="0.25">
      <c r="B14" s="7">
        <f>SUM(B2:B13)</f>
        <v>12000</v>
      </c>
      <c r="C14" s="5">
        <f>D14/B14-1</f>
        <v>0.67321853888943051</v>
      </c>
      <c r="D14" s="7">
        <f>SUM(D2:D13)</f>
        <v>20078.622466673165</v>
      </c>
      <c r="E14" s="5">
        <f>F14/D14-1</f>
        <v>-0.11278912201992242</v>
      </c>
      <c r="F14" s="7">
        <f>SUM(F2:F13)</f>
        <v>17813.972267287609</v>
      </c>
      <c r="G14" s="8">
        <f t="shared" si="2"/>
        <v>0.48449768894063405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All Stocks Analysis</vt:lpstr>
      <vt:lpstr>Original Script</vt:lpstr>
      <vt:lpstr>Sheet2</vt:lpstr>
      <vt:lpstr>2 year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Scheet, Aaron G.</cp:lastModifiedBy>
  <dcterms:created xsi:type="dcterms:W3CDTF">2019-05-02T20:23:55Z</dcterms:created>
  <dcterms:modified xsi:type="dcterms:W3CDTF">2021-09-02T20:03:41Z</dcterms:modified>
</cp:coreProperties>
</file>